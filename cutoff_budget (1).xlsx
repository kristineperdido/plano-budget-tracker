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toff Budget" sheetId="1" state="visible" r:id="rId3"/>
  </sheets>
  <definedNames>
    <definedName function="false" hidden="false" name="StartingBalance" vbProcedure="false">'Cutoff Budget'!$B$18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<sst xmlns="http://schemas.openxmlformats.org/spreadsheetml/2006/main" count="48" uniqueCount="47">
  <si>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CUTOFF-BY-CUTOFF BUDGET</t>
  </si>
  <si>
    <t xml:space="preserve">Housing</t>
  </si>
  <si>
    <t xml:space="preserve">Connectivity</t>
  </si>
  <si>
    <t xml:space="preserve">Household</t>
  </si>
  <si>
    <t xml:space="preserve">Other</t>
  </si>
  <si>
    <t xml:space="preserve">Custom Breakdown</t>
  </si>
  <si>
    <t xml:space="preserve">Cutoff</t>
  </si>
  <si>
    <t xml:space="preserve">Income</t>
  </si>
  <si>
    <t xml:space="preserve">Rent</t>
  </si>
  <si>
    <t xml:space="preserve">Electric</t>
  </si>
  <si>
    <t xml:space="preserve">Water</t>
  </si>
  <si>
    <t xml:space="preserve">Wifi</t>
  </si>
  <si>
    <t xml:space="preserve">Laundry</t>
  </si>
  <si>
    <t xml:space="preserve">Mama</t>
  </si>
  <si>
    <t xml:space="preserve">Frosty</t>
  </si>
  <si>
    <t xml:space="preserve">Drinking</t>
  </si>
  <si>
    <t xml:space="preserve">Food</t>
  </si>
  <si>
    <t xml:space="preserve">Maint.</t>
  </si>
  <si>
    <t xml:space="preserve">Custom</t>
  </si>
  <si>
    <t xml:space="preserve">Total Bills</t>
  </si>
  <si>
    <t xml:space="preserve">Left / Short</t>
  </si>
  <si>
    <t xml:space="preserve">Savings</t>
  </si>
  <si>
    <t xml:space="preserve">Item 1</t>
  </si>
  <si>
    <t xml:space="preserve">Amount 1</t>
  </si>
  <si>
    <t xml:space="preserve">Item 2</t>
  </si>
  <si>
    <t xml:space="preserve">Amount 2</t>
  </si>
  <si>
    <t xml:space="preserve">Item 3</t>
  </si>
  <si>
    <t xml:space="preserve">Amount 3</t>
  </si>
  <si>
    <t xml:space="preserve">Aug 25</t>
  </si>
  <si>
    <t xml:space="preserve">GLoan (paid in full)</t>
  </si>
  <si>
    <t xml:space="preserve">Allowance</t>
  </si>
  <si>
    <t xml:space="preserve">Bday ni Ate</t>
  </si>
  <si>
    <t xml:space="preserve">Sept 10</t>
  </si>
  <si>
    <t xml:space="preserve">Spay</t>
  </si>
  <si>
    <t xml:space="preserve">Sept 25</t>
  </si>
  <si>
    <t xml:space="preserve">Pet fee</t>
  </si>
  <si>
    <t xml:space="preserve">Key card</t>
  </si>
  <si>
    <t xml:space="preserve">Oct 10</t>
  </si>
  <si>
    <t xml:space="preserve">Oct 25</t>
  </si>
  <si>
    <t xml:space="preserve">Nov 10</t>
  </si>
  <si>
    <t xml:space="preserve">Nov 25</t>
  </si>
  <si>
    <t xml:space="preserve">Dec 10</t>
  </si>
  <si>
    <t xml:space="preserve">Dec 25</t>
  </si>
  <si>
    <t xml:space="preserve">Jan 10</t>
  </si>
  <si>
    <t xml:space="preserve">Jan 25</t>
  </si>
  <si>
    <t xml:space="preserve">Starting savings balance (before Aug 25):</t>
  </si>
  <si>
    <t xml:space="preserve">Note: derived from Aug 25 Savings (8,991) minus Aug 25 Left/Short (1,991). Adjust if actual starting balance differs.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</si>
</sst>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₱#,##0;&quot;-₱&quot;#,##0"/>
    <numFmt numFmtId="167" formatCode="&quot;+₱&quot;#,##0;&quot;-₱&quot;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4A6A"/>
      <name val="Arial"/>
      <family val="0"/>
      <charset val="1"/>
    </font>
    <font>
      <b val="true"/>
      <sz val="10"/>
      <color rgb="FF4A4A6A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2D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8E2D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A4A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9" min="7" style="1" width="8"/>
    <col collapsed="false" customWidth="true" hidden="false" outlineLevel="0" max="10" min="10" style="1" width="9"/>
    <col collapsed="false" customWidth="true" hidden="false" outlineLevel="0" max="12" min="11" style="1" width="8"/>
    <col collapsed="false" customWidth="true" hidden="false" outlineLevel="0" max="13" min="13" style="1" width="9"/>
    <col collapsed="false" customWidth="true" hidden="false" outlineLevel="0" max="15" min="14" style="1" width="12"/>
    <col collapsed="false" customWidth="true" hidden="false" outlineLevel="0" max="16" min="16" style="1" width="11"/>
    <col collapsed="false" customWidth="true" hidden="false" outlineLevel="0" max="17" min="17" style="0" width="20"/>
    <col collapsed="false" customWidth="true" hidden="false" outlineLevel="0" max="18" min="18" style="0" width="10"/>
    <col collapsed="false" customWidth="true" hidden="false" outlineLevel="0" max="19" min="19" style="0" width="20"/>
    <col collapsed="false" customWidth="true" hidden="false" outlineLevel="0" max="20" min="20" style="0" width="10"/>
    <col collapsed="false" customWidth="true" hidden="false" outlineLevel="0" max="21" min="21" style="0" width="20"/>
    <col collapsed="false" customWidth="true" hidden="false" outlineLevel="0" max="22" min="22" style="0" width="1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C3" s="3" t="s">
        <v>1</v>
      </c>
      <c r="D3" s="3"/>
      <c r="E3" s="3" t="s">
        <v>2</v>
      </c>
      <c r="F3" s="3"/>
      <c r="G3" s="3" t="s">
        <v>3</v>
      </c>
      <c r="H3" s="3"/>
      <c r="I3" s="3"/>
      <c r="J3" s="3"/>
      <c r="K3" s="3"/>
      <c r="L3" s="4" t="s">
        <v>4</v>
      </c>
      <c r="Q3" s="3" t="s">
        <v>5</v>
      </c>
      <c r="R3" s="3"/>
      <c r="S3" s="3"/>
      <c r="T3" s="3"/>
      <c r="U3" s="3"/>
      <c r="V3" s="3"/>
    </row>
    <row r="4" customFormat="false" ht="15" hidden="false" customHeight="tru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</row>
    <row r="5" customFormat="false" ht="15" hidden="false" customHeight="true" outlineLevel="0" collapsed="false">
      <c r="A5" s="6" t="s">
        <v>28</v>
      </c>
      <c r="B5" s="7" t="n">
        <v>13950</v>
      </c>
      <c r="C5" s="8" t="n">
        <v>0</v>
      </c>
      <c r="D5" s="8" t="n">
        <v>1500</v>
      </c>
      <c r="E5" s="8" t="n">
        <v>0</v>
      </c>
      <c r="F5" s="8" t="n">
        <v>800</v>
      </c>
      <c r="G5" s="8" t="n">
        <v>0</v>
      </c>
      <c r="H5" s="8" t="n">
        <v>1500</v>
      </c>
      <c r="I5" s="8" t="n">
        <v>0</v>
      </c>
      <c r="J5" s="8" t="n">
        <v>0</v>
      </c>
      <c r="K5" s="8" t="n">
        <v>0</v>
      </c>
      <c r="L5" s="8" t="n">
        <v>0</v>
      </c>
      <c r="M5" s="9" t="n">
        <f aca="false">R5+T5+V5</f>
        <v>8159</v>
      </c>
      <c r="N5" s="10" t="n">
        <f aca="false">SUM(C5:M5)</f>
        <v>11959</v>
      </c>
      <c r="O5" s="11" t="n">
        <f aca="false">B5-N5</f>
        <v>1991</v>
      </c>
      <c r="P5" s="10" t="n">
        <f aca="false">StartingBalance+O5</f>
        <v>8991</v>
      </c>
      <c r="Q5" s="12" t="s">
        <v>29</v>
      </c>
      <c r="R5" s="13" t="n">
        <v>3159</v>
      </c>
      <c r="S5" s="12" t="s">
        <v>30</v>
      </c>
      <c r="T5" s="13" t="n">
        <v>2000</v>
      </c>
      <c r="U5" s="12" t="s">
        <v>31</v>
      </c>
      <c r="V5" s="13" t="n">
        <v>3000</v>
      </c>
    </row>
    <row r="6" customFormat="false" ht="15" hidden="false" customHeight="true" outlineLevel="0" collapsed="false">
      <c r="A6" s="6" t="s">
        <v>32</v>
      </c>
      <c r="B6" s="7" t="n">
        <v>13950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1500</v>
      </c>
      <c r="I6" s="8" t="n">
        <v>0</v>
      </c>
      <c r="J6" s="8" t="n">
        <v>0</v>
      </c>
      <c r="K6" s="8" t="n">
        <v>0</v>
      </c>
      <c r="L6" s="8" t="n">
        <v>0</v>
      </c>
      <c r="M6" s="9" t="n">
        <f aca="false">R6+T6+V6</f>
        <v>11022</v>
      </c>
      <c r="N6" s="10" t="n">
        <f aca="false">SUM(C6:M6)</f>
        <v>12522</v>
      </c>
      <c r="O6" s="11" t="n">
        <f aca="false">B6-N6</f>
        <v>1428</v>
      </c>
      <c r="P6" s="10" t="n">
        <f aca="false">P5+O6</f>
        <v>10419</v>
      </c>
      <c r="Q6" s="12" t="s">
        <v>30</v>
      </c>
      <c r="R6" s="13" t="n">
        <v>3000</v>
      </c>
      <c r="S6" s="12" t="s">
        <v>33</v>
      </c>
      <c r="T6" s="13" t="n">
        <v>8022</v>
      </c>
      <c r="U6" s="14"/>
      <c r="V6" s="14"/>
    </row>
    <row r="7" customFormat="false" ht="15" hidden="false" customHeight="true" outlineLevel="0" collapsed="false">
      <c r="A7" s="6" t="s">
        <v>34</v>
      </c>
      <c r="B7" s="7" t="n">
        <v>13950</v>
      </c>
      <c r="C7" s="8" t="n">
        <v>5750</v>
      </c>
      <c r="D7" s="8" t="n">
        <v>0</v>
      </c>
      <c r="E7" s="8" t="n">
        <v>0</v>
      </c>
      <c r="F7" s="8" t="n">
        <v>1000</v>
      </c>
      <c r="G7" s="8" t="n">
        <v>640</v>
      </c>
      <c r="H7" s="8" t="n">
        <v>3000</v>
      </c>
      <c r="I7" s="8" t="n">
        <v>534</v>
      </c>
      <c r="J7" s="8" t="n">
        <v>43</v>
      </c>
      <c r="K7" s="8" t="n">
        <v>3750</v>
      </c>
      <c r="L7" s="8" t="n">
        <v>500</v>
      </c>
      <c r="M7" s="9" t="n">
        <f aca="false">R7+T7+V7</f>
        <v>2000</v>
      </c>
      <c r="N7" s="10" t="n">
        <f aca="false">SUM(C7:M7)</f>
        <v>17217</v>
      </c>
      <c r="O7" s="11" t="n">
        <f aca="false">B7-N7</f>
        <v>-3267</v>
      </c>
      <c r="P7" s="10" t="n">
        <f aca="false">P6+O7</f>
        <v>7152</v>
      </c>
      <c r="Q7" s="12" t="s">
        <v>35</v>
      </c>
      <c r="R7" s="13" t="n">
        <v>1500</v>
      </c>
      <c r="S7" s="12" t="s">
        <v>36</v>
      </c>
      <c r="T7" s="13" t="n">
        <v>500</v>
      </c>
      <c r="U7" s="14"/>
      <c r="V7" s="14"/>
    </row>
    <row r="8" customFormat="false" ht="15" hidden="false" customHeight="true" outlineLevel="0" collapsed="false">
      <c r="A8" s="6" t="s">
        <v>37</v>
      </c>
      <c r="B8" s="7" t="n">
        <v>13950</v>
      </c>
      <c r="C8" s="8" t="n">
        <v>5750</v>
      </c>
      <c r="D8" s="8" t="n">
        <v>0</v>
      </c>
      <c r="E8" s="8" t="n">
        <v>0</v>
      </c>
      <c r="F8" s="8" t="n">
        <v>500</v>
      </c>
      <c r="G8" s="8" t="n">
        <v>640</v>
      </c>
      <c r="H8" s="8" t="n">
        <v>1000</v>
      </c>
      <c r="I8" s="8" t="n">
        <v>534</v>
      </c>
      <c r="J8" s="8" t="n">
        <v>43</v>
      </c>
      <c r="K8" s="8" t="n">
        <v>3750</v>
      </c>
      <c r="L8" s="8" t="n">
        <v>500</v>
      </c>
      <c r="M8" s="8" t="n">
        <v>0</v>
      </c>
      <c r="N8" s="10" t="n">
        <f aca="false">SUM(C8:M8)</f>
        <v>12717</v>
      </c>
      <c r="O8" s="11" t="n">
        <f aca="false">B8-N8</f>
        <v>1233</v>
      </c>
      <c r="P8" s="10" t="n">
        <f aca="false">P7+O8</f>
        <v>8385</v>
      </c>
      <c r="Q8" s="14"/>
      <c r="R8" s="14"/>
      <c r="S8" s="14"/>
      <c r="T8" s="14"/>
      <c r="U8" s="14"/>
      <c r="V8" s="14"/>
    </row>
    <row r="9" customFormat="false" ht="15" hidden="false" customHeight="true" outlineLevel="0" collapsed="false">
      <c r="A9" s="6" t="s">
        <v>38</v>
      </c>
      <c r="B9" s="7" t="n">
        <v>13950</v>
      </c>
      <c r="C9" s="8" t="n">
        <v>5750</v>
      </c>
      <c r="D9" s="8" t="n">
        <v>2500</v>
      </c>
      <c r="E9" s="8" t="n">
        <v>500</v>
      </c>
      <c r="F9" s="8" t="n">
        <v>500</v>
      </c>
      <c r="G9" s="8" t="n">
        <v>640</v>
      </c>
      <c r="H9" s="8" t="n">
        <v>2000</v>
      </c>
      <c r="I9" s="8" t="n">
        <v>534</v>
      </c>
      <c r="J9" s="8" t="n">
        <v>43</v>
      </c>
      <c r="K9" s="8" t="n">
        <v>3750</v>
      </c>
      <c r="L9" s="8" t="n">
        <v>500</v>
      </c>
      <c r="M9" s="8" t="n">
        <v>0</v>
      </c>
      <c r="N9" s="10" t="n">
        <f aca="false">SUM(C9:M9)</f>
        <v>16717</v>
      </c>
      <c r="O9" s="11" t="n">
        <f aca="false">B9-N9</f>
        <v>-2767</v>
      </c>
      <c r="P9" s="10" t="n">
        <f aca="false">P8+O9</f>
        <v>5618</v>
      </c>
      <c r="Q9" s="14"/>
      <c r="R9" s="14"/>
      <c r="S9" s="14"/>
      <c r="T9" s="14"/>
      <c r="U9" s="14"/>
      <c r="V9" s="14"/>
    </row>
    <row r="10" customFormat="false" ht="15" hidden="false" customHeight="true" outlineLevel="0" collapsed="false">
      <c r="A10" s="6" t="s">
        <v>39</v>
      </c>
      <c r="B10" s="7" t="n">
        <v>13950</v>
      </c>
      <c r="C10" s="8" t="n">
        <v>5750</v>
      </c>
      <c r="D10" s="8" t="n">
        <v>1250</v>
      </c>
      <c r="E10" s="8" t="n">
        <v>250</v>
      </c>
      <c r="F10" s="8" t="n">
        <v>500</v>
      </c>
      <c r="G10" s="8" t="n">
        <v>640</v>
      </c>
      <c r="H10" s="8" t="n">
        <v>1000</v>
      </c>
      <c r="I10" s="8" t="n">
        <v>534</v>
      </c>
      <c r="J10" s="8" t="n">
        <v>43</v>
      </c>
      <c r="K10" s="8" t="n">
        <v>3750</v>
      </c>
      <c r="L10" s="8" t="n">
        <v>500</v>
      </c>
      <c r="M10" s="8" t="n">
        <v>0</v>
      </c>
      <c r="N10" s="10" t="n">
        <f aca="false">SUM(C10:M10)</f>
        <v>14217</v>
      </c>
      <c r="O10" s="11" t="n">
        <f aca="false">B10-N10</f>
        <v>-267</v>
      </c>
      <c r="P10" s="10" t="n">
        <f aca="false">P9+O10</f>
        <v>5351</v>
      </c>
      <c r="Q10" s="14"/>
      <c r="R10" s="14"/>
      <c r="S10" s="14"/>
      <c r="T10" s="14"/>
      <c r="U10" s="14"/>
      <c r="V10" s="14"/>
    </row>
    <row r="11" customFormat="false" ht="15" hidden="false" customHeight="true" outlineLevel="0" collapsed="false">
      <c r="A11" s="6" t="s">
        <v>40</v>
      </c>
      <c r="B11" s="7" t="n">
        <v>13950</v>
      </c>
      <c r="C11" s="8" t="n">
        <v>5750</v>
      </c>
      <c r="D11" s="8" t="n">
        <v>1250</v>
      </c>
      <c r="E11" s="8" t="n">
        <v>250</v>
      </c>
      <c r="F11" s="8" t="n">
        <v>500</v>
      </c>
      <c r="G11" s="8" t="n">
        <v>640</v>
      </c>
      <c r="H11" s="8" t="n">
        <v>2000</v>
      </c>
      <c r="I11" s="8" t="n">
        <v>534</v>
      </c>
      <c r="J11" s="8" t="n">
        <v>43</v>
      </c>
      <c r="K11" s="8" t="n">
        <v>3750</v>
      </c>
      <c r="L11" s="8" t="n">
        <v>500</v>
      </c>
      <c r="M11" s="8" t="n">
        <v>0</v>
      </c>
      <c r="N11" s="10" t="n">
        <f aca="false">SUM(C11:M11)</f>
        <v>15217</v>
      </c>
      <c r="O11" s="11" t="n">
        <f aca="false">B11-N11</f>
        <v>-1267</v>
      </c>
      <c r="P11" s="10" t="n">
        <f aca="false">P10+O11</f>
        <v>4084</v>
      </c>
      <c r="Q11" s="14"/>
      <c r="R11" s="14"/>
      <c r="S11" s="14"/>
      <c r="T11" s="14"/>
      <c r="U11" s="14"/>
      <c r="V11" s="14"/>
    </row>
    <row r="12" customFormat="false" ht="15" hidden="false" customHeight="true" outlineLevel="0" collapsed="false">
      <c r="A12" s="6" t="s">
        <v>41</v>
      </c>
      <c r="B12" s="7" t="n">
        <v>13950</v>
      </c>
      <c r="C12" s="8" t="n">
        <v>5750</v>
      </c>
      <c r="D12" s="8" t="n">
        <v>1250</v>
      </c>
      <c r="E12" s="8" t="n">
        <v>250</v>
      </c>
      <c r="F12" s="8" t="n">
        <v>500</v>
      </c>
      <c r="G12" s="8" t="n">
        <v>640</v>
      </c>
      <c r="H12" s="8" t="n">
        <v>1000</v>
      </c>
      <c r="I12" s="8" t="n">
        <v>534</v>
      </c>
      <c r="J12" s="8" t="n">
        <v>43</v>
      </c>
      <c r="K12" s="8" t="n">
        <v>3750</v>
      </c>
      <c r="L12" s="8" t="n">
        <v>500</v>
      </c>
      <c r="M12" s="8" t="n">
        <v>0</v>
      </c>
      <c r="N12" s="10" t="n">
        <f aca="false">SUM(C12:M12)</f>
        <v>14217</v>
      </c>
      <c r="O12" s="11" t="n">
        <f aca="false">B12-N12</f>
        <v>-267</v>
      </c>
      <c r="P12" s="10" t="n">
        <f aca="false">P11+O12</f>
        <v>3817</v>
      </c>
      <c r="Q12" s="14"/>
      <c r="R12" s="14"/>
      <c r="S12" s="14"/>
      <c r="T12" s="14"/>
      <c r="U12" s="14"/>
      <c r="V12" s="14"/>
    </row>
    <row r="13" customFormat="false" ht="15" hidden="false" customHeight="true" outlineLevel="0" collapsed="false">
      <c r="A13" s="6" t="s">
        <v>42</v>
      </c>
      <c r="B13" s="7" t="n">
        <v>13950</v>
      </c>
      <c r="C13" s="8" t="n">
        <v>5750</v>
      </c>
      <c r="D13" s="8" t="n">
        <v>1250</v>
      </c>
      <c r="E13" s="8" t="n">
        <v>250</v>
      </c>
      <c r="F13" s="8" t="n">
        <v>500</v>
      </c>
      <c r="G13" s="8" t="n">
        <v>640</v>
      </c>
      <c r="H13" s="8" t="n">
        <v>2000</v>
      </c>
      <c r="I13" s="8" t="n">
        <v>534</v>
      </c>
      <c r="J13" s="8" t="n">
        <v>43</v>
      </c>
      <c r="K13" s="8" t="n">
        <v>3750</v>
      </c>
      <c r="L13" s="8" t="n">
        <v>500</v>
      </c>
      <c r="M13" s="8" t="n">
        <v>0</v>
      </c>
      <c r="N13" s="10" t="n">
        <f aca="false">SUM(C13:M13)</f>
        <v>15217</v>
      </c>
      <c r="O13" s="11" t="n">
        <f aca="false">B13-N13</f>
        <v>-1267</v>
      </c>
      <c r="P13" s="10" t="n">
        <f aca="false">P12+O13</f>
        <v>2550</v>
      </c>
      <c r="Q13" s="14"/>
      <c r="R13" s="14"/>
      <c r="S13" s="14"/>
      <c r="T13" s="14"/>
      <c r="U13" s="14"/>
      <c r="V13" s="14"/>
    </row>
    <row r="14" customFormat="false" ht="15" hidden="false" customHeight="true" outlineLevel="0" collapsed="false">
      <c r="A14" s="6" t="s">
        <v>43</v>
      </c>
      <c r="B14" s="7" t="n">
        <v>13950</v>
      </c>
      <c r="C14" s="8" t="n">
        <v>5750</v>
      </c>
      <c r="D14" s="8" t="n">
        <v>1250</v>
      </c>
      <c r="E14" s="8" t="n">
        <v>250</v>
      </c>
      <c r="F14" s="8" t="n">
        <v>500</v>
      </c>
      <c r="G14" s="8" t="n">
        <v>640</v>
      </c>
      <c r="H14" s="8" t="n">
        <v>1000</v>
      </c>
      <c r="I14" s="8" t="n">
        <v>534</v>
      </c>
      <c r="J14" s="8" t="n">
        <v>43</v>
      </c>
      <c r="K14" s="8" t="n">
        <v>3750</v>
      </c>
      <c r="L14" s="8" t="n">
        <v>500</v>
      </c>
      <c r="M14" s="8" t="n">
        <v>0</v>
      </c>
      <c r="N14" s="10" t="n">
        <f aca="false">SUM(C14:M14)</f>
        <v>14217</v>
      </c>
      <c r="O14" s="11" t="n">
        <f aca="false">B14-N14</f>
        <v>-267</v>
      </c>
      <c r="P14" s="10" t="n">
        <f aca="false">P13+O14</f>
        <v>2283</v>
      </c>
      <c r="Q14" s="14"/>
      <c r="R14" s="14"/>
      <c r="S14" s="14"/>
      <c r="T14" s="14"/>
      <c r="U14" s="14"/>
      <c r="V14" s="14"/>
    </row>
    <row r="15" customFormat="false" ht="15" hidden="false" customHeight="true" outlineLevel="0" collapsed="false">
      <c r="A15" s="6" t="s">
        <v>44</v>
      </c>
      <c r="B15" s="7" t="n">
        <v>13950</v>
      </c>
      <c r="C15" s="8" t="n">
        <v>5750</v>
      </c>
      <c r="D15" s="8" t="n">
        <v>1250</v>
      </c>
      <c r="E15" s="8" t="n">
        <v>250</v>
      </c>
      <c r="F15" s="8" t="n">
        <v>500</v>
      </c>
      <c r="G15" s="8" t="n">
        <v>640</v>
      </c>
      <c r="H15" s="8" t="n">
        <v>2000</v>
      </c>
      <c r="I15" s="8" t="n">
        <v>534</v>
      </c>
      <c r="J15" s="8" t="n">
        <v>43</v>
      </c>
      <c r="K15" s="8" t="n">
        <v>3750</v>
      </c>
      <c r="L15" s="8" t="n">
        <v>500</v>
      </c>
      <c r="M15" s="8" t="n">
        <v>0</v>
      </c>
      <c r="N15" s="10" t="n">
        <f aca="false">SUM(C15:M15)</f>
        <v>15217</v>
      </c>
      <c r="O15" s="11" t="n">
        <f aca="false">B15-N15</f>
        <v>-1267</v>
      </c>
      <c r="P15" s="10" t="n">
        <f aca="false">P14+O15</f>
        <v>1016</v>
      </c>
      <c r="Q15" s="14"/>
      <c r="R15" s="14"/>
      <c r="S15" s="14"/>
      <c r="T15" s="14"/>
      <c r="U15" s="14"/>
      <c r="V15" s="14"/>
    </row>
    <row r="18" customFormat="false" ht="15" hidden="false" customHeight="true" outlineLevel="0" collapsed="false">
      <c r="A18" s="15" t="s">
        <v>45</v>
      </c>
      <c r="B18" s="16" t="n">
        <v>7000</v>
      </c>
    </row>
    <row r="19" customFormat="false" ht="15" hidden="false" customHeight="true" outlineLevel="0" collapsed="false">
      <c r="A19" s="17" t="s">
        <v>46</v>
      </c>
    </row>
  </sheetData>
  <mergeCells count="4">
    <mergeCell ref="C3:D3"/>
    <mergeCell ref="E3:F3"/>
    <mergeCell ref="G3:K3"/>
    <mergeCell ref="Q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2026-08-21T12:33:03Z</dcterms:created>
  <dc:creator>openpyxl</dc:creator>
  <dc:description/>
  <dc:language>en-US</dc:language>
  <cp:lastModifiedBy/>
  <dcterms:modified xsi:type="dcterms:W3CDTF">2026-08-21T12:39:18Z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